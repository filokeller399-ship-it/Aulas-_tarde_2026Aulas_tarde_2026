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omena.0997\Documents\filomena\Word\FOTOS\"/>
    </mc:Choice>
  </mc:AlternateContent>
  <xr:revisionPtr revIDLastSave="0" documentId="13_ncr:1_{E9B9AF4B-7BA4-419B-9829-48FAB24D775A}" xr6:coauthVersionLast="36" xr6:coauthVersionMax="36" xr10:uidLastSave="{00000000-0000-0000-0000-000000000000}"/>
  <bookViews>
    <workbookView xWindow="0" yWindow="0" windowWidth="28800" windowHeight="12105" activeTab="1" xr2:uid="{59F7DE5A-2CAC-4512-AD0A-67366D2DE155}"/>
  </bookViews>
  <sheets>
    <sheet name="Gráfico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4" i="1"/>
  <c r="D13" i="1"/>
  <c r="D11" i="1"/>
  <c r="D6" i="1"/>
  <c r="D5" i="1"/>
  <c r="D7" i="1"/>
  <c r="D8" i="1"/>
  <c r="D9" i="1"/>
  <c r="D4" i="1"/>
  <c r="B11" i="1"/>
</calcChain>
</file>

<file path=xl/sharedStrings.xml><?xml version="1.0" encoding="utf-8"?>
<sst xmlns="http://schemas.openxmlformats.org/spreadsheetml/2006/main" count="16" uniqueCount="16">
  <si>
    <t>ORÇAMENTO DE PRODUTOS</t>
  </si>
  <si>
    <t>PRODUTO</t>
  </si>
  <si>
    <t>PLACA-MÃE</t>
  </si>
  <si>
    <t>MONITOS</t>
  </si>
  <si>
    <t>HD</t>
  </si>
  <si>
    <t>GABINETE</t>
  </si>
  <si>
    <t>QUANTIDADE TOTAL</t>
  </si>
  <si>
    <t>QUANTIDADE</t>
  </si>
  <si>
    <t>PREÇO UNITÁRIO</t>
  </si>
  <si>
    <t>VALOR TOTAL</t>
  </si>
  <si>
    <t>TOTAL COMPRA</t>
  </si>
  <si>
    <t>VALOR À VISTA (COM DESCONTO)</t>
  </si>
  <si>
    <t>VALOR PARCELADO (6X)</t>
  </si>
  <si>
    <t>VALOR DO DESCONTO (15%)</t>
  </si>
  <si>
    <t>MOUSE</t>
  </si>
  <si>
    <t xml:space="preserve">TECLADO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</si>
</sst>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color theme="4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0" xfId="1" applyFont="1"/>
    <xf numFmtId="0" fontId="2" fillId="0" borderId="1" xfId="0" applyFont="1" applyBorder="1"/>
    <xf numFmtId="0" fontId="3" fillId="0" borderId="1" xfId="0" applyFont="1" applyBorder="1"/>
    <xf numFmtId="44" fontId="3" fillId="0" borderId="1" xfId="1" applyFont="1" applyBorder="1"/>
    <xf numFmtId="0" fontId="4" fillId="2" borderId="1" xfId="0" applyFont="1" applyFill="1" applyBorder="1"/>
    <xf numFmtId="0" fontId="5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Planilha1!$A$11:$C$11</c:f>
              <c:strCache>
                <c:ptCount val="3"/>
                <c:pt idx="0">
                  <c:v>QUANTIDADE TOTAL</c:v>
                </c:pt>
                <c:pt idx="1">
                  <c:v>62</c:v>
                </c:pt>
                <c:pt idx="2">
                  <c:v> TOTAL COMPRA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Planilha1!$D$11</c:f>
              <c:numCache>
                <c:formatCode>_("R$"* #,##0.00_);_("R$"* \(#,##0.00\);_("R$"* "-"??_);_(@_)</c:formatCode>
                <c:ptCount val="1"/>
                <c:pt idx="0">
                  <c:v>9970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1-49D6-9D34-F642AAE99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446703"/>
        <c:axId val="683271823"/>
      </c:barChart>
      <c:catAx>
        <c:axId val="772446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3271823"/>
        <c:crosses val="autoZero"/>
        <c:auto val="1"/>
        <c:lblAlgn val="ctr"/>
        <c:lblOffset val="100"/>
        <c:noMultiLvlLbl val="0"/>
      </c:catAx>
      <c:valAx>
        <c:axId val="6832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244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C1CA48-09A2-4DFA-99ED-2D10A7396498}">
  <sheetPr/>
  <sheetViews>
    <sheetView zoomScale="11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979551" cy="622788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6679A6-D276-4394-A679-52164BCB1F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BCB4-844C-4580-B9C0-2F4E3A8C7195}">
  <dimension ref="A1:F15"/>
  <sheetViews>
    <sheetView tabSelected="1" workbookViewId="0">
      <selection sqref="A1:D1"/>
    </sheetView>
  </sheetViews>
  <sheetFormatPr defaultRowHeight="15" x14ac:dyDescent="0.25"/>
  <cols>
    <col min="1" max="1" width="25.28515625" customWidth="1"/>
    <col min="2" max="2" width="12.85546875" bestFit="1" customWidth="1"/>
    <col min="3" max="3" width="30.42578125" customWidth="1"/>
    <col min="4" max="4" width="13" customWidth="1"/>
    <col min="5" max="5" width="15.42578125" bestFit="1" customWidth="1"/>
    <col min="11" max="11" width="11.5703125" bestFit="1" customWidth="1"/>
  </cols>
  <sheetData>
    <row r="1" spans="1:6" x14ac:dyDescent="0.25">
      <c r="A1" s="8" t="s">
        <v>0</v>
      </c>
      <c r="B1" s="8"/>
      <c r="C1" s="8"/>
      <c r="D1" s="8"/>
    </row>
    <row r="3" spans="1:6" x14ac:dyDescent="0.25">
      <c r="A3" s="7" t="s">
        <v>1</v>
      </c>
      <c r="B3" s="7" t="s">
        <v>7</v>
      </c>
      <c r="C3" s="7" t="s">
        <v>8</v>
      </c>
      <c r="D3" s="7" t="s">
        <v>9</v>
      </c>
    </row>
    <row r="4" spans="1:6" x14ac:dyDescent="0.25">
      <c r="A4" s="5" t="s">
        <v>2</v>
      </c>
      <c r="B4" s="5">
        <v>12</v>
      </c>
      <c r="C4" s="6">
        <v>250</v>
      </c>
      <c r="D4" s="6">
        <f>PRODUCT(B4,C4)</f>
        <v>3000</v>
      </c>
    </row>
    <row r="5" spans="1:6" x14ac:dyDescent="0.25">
      <c r="A5" s="5" t="s">
        <v>3</v>
      </c>
      <c r="B5" s="5">
        <v>10</v>
      </c>
      <c r="C5" s="6">
        <v>390</v>
      </c>
      <c r="D5" s="6">
        <f t="shared" ref="D5:D9" si="0">PRODUCT(B5,C5)</f>
        <v>3900</v>
      </c>
    </row>
    <row r="6" spans="1:6" x14ac:dyDescent="0.25">
      <c r="A6" s="5" t="s">
        <v>14</v>
      </c>
      <c r="B6" s="5">
        <v>12</v>
      </c>
      <c r="C6" s="6">
        <v>25</v>
      </c>
      <c r="D6" s="6">
        <f>PRODUCT(B6,C6)</f>
        <v>300</v>
      </c>
    </row>
    <row r="7" spans="1:6" x14ac:dyDescent="0.25">
      <c r="A7" s="5" t="s">
        <v>15</v>
      </c>
      <c r="B7" s="5">
        <v>12</v>
      </c>
      <c r="C7" s="6">
        <v>30</v>
      </c>
      <c r="D7" s="6">
        <f t="shared" si="0"/>
        <v>360</v>
      </c>
    </row>
    <row r="8" spans="1:6" x14ac:dyDescent="0.25">
      <c r="A8" s="5" t="s">
        <v>4</v>
      </c>
      <c r="B8" s="5">
        <v>6</v>
      </c>
      <c r="C8" s="6">
        <v>210</v>
      </c>
      <c r="D8" s="6">
        <f t="shared" si="0"/>
        <v>1260</v>
      </c>
    </row>
    <row r="9" spans="1:6" x14ac:dyDescent="0.25">
      <c r="A9" s="5" t="s">
        <v>5</v>
      </c>
      <c r="B9" s="5">
        <v>10</v>
      </c>
      <c r="C9" s="6">
        <v>115</v>
      </c>
      <c r="D9" s="6">
        <f t="shared" si="0"/>
        <v>1150</v>
      </c>
    </row>
    <row r="10" spans="1:6" x14ac:dyDescent="0.25">
      <c r="C10" s="3"/>
      <c r="D10" s="3"/>
      <c r="F10" s="1"/>
    </row>
    <row r="11" spans="1:6" x14ac:dyDescent="0.25">
      <c r="A11" s="4" t="s">
        <v>6</v>
      </c>
      <c r="B11" s="1">
        <f>SUM(B4:B9)</f>
        <v>62</v>
      </c>
      <c r="C11" s="2" t="s">
        <v>10</v>
      </c>
      <c r="D11" s="2">
        <f>SUM(D4:D10)</f>
        <v>9970</v>
      </c>
    </row>
    <row r="12" spans="1:6" x14ac:dyDescent="0.25">
      <c r="A12" s="1"/>
      <c r="B12" s="1"/>
      <c r="C12" s="2"/>
      <c r="D12" s="2"/>
    </row>
    <row r="13" spans="1:6" x14ac:dyDescent="0.25">
      <c r="A13" s="1"/>
      <c r="B13" s="1"/>
      <c r="C13" s="2" t="s">
        <v>13</v>
      </c>
      <c r="D13" s="2">
        <f>PRODUCT(D11,15%)</f>
        <v>1495.5</v>
      </c>
    </row>
    <row r="14" spans="1:6" x14ac:dyDescent="0.25">
      <c r="A14" s="1"/>
      <c r="B14" s="1"/>
      <c r="C14" s="2" t="s">
        <v>11</v>
      </c>
      <c r="D14" s="2">
        <f>D11-D13</f>
        <v>8474.5</v>
      </c>
    </row>
    <row r="15" spans="1:6" x14ac:dyDescent="0.25">
      <c r="A15" s="1"/>
      <c r="B15" s="1"/>
      <c r="C15" s="2" t="s">
        <v>12</v>
      </c>
      <c r="D15" s="2">
        <f>D11/6</f>
        <v>1661.6666666666667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Planilha1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FILOMENA KELLER</dc:creator>
  <cp:lastModifiedBy>FILOMENA KELLER</cp:lastModifiedBy>
  <dcterms:created xsi:type="dcterms:W3CDTF">2026-01-23T11:24:37Z</dcterms:created>
  <dcterms:modified xsi:type="dcterms:W3CDTF">2026-01-26T11:15:21Z</dcterms:modified>
</cp:coreProperties>
</file>